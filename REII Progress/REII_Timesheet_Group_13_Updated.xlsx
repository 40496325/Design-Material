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IGN GIT\"/>
    </mc:Choice>
  </mc:AlternateContent>
  <xr:revisionPtr revIDLastSave="0" documentId="8_{33E0794E-A8B3-451A-BCA3-35796F17CD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tail Time Estim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6" i="1" l="1"/>
  <c r="E86" i="1"/>
</calcChain>
</file>

<file path=xl/sharedStrings.xml><?xml version="1.0" encoding="utf-8"?>
<sst xmlns="http://schemas.openxmlformats.org/spreadsheetml/2006/main" count="326" uniqueCount="288">
  <si>
    <t>EngDes26</t>
  </si>
  <si>
    <t>REII TimeSheet</t>
  </si>
  <si>
    <t>Group Number:</t>
  </si>
  <si>
    <t>Student  Name:</t>
  </si>
  <si>
    <t>Riekert Nel</t>
  </si>
  <si>
    <t>Student Number:</t>
  </si>
  <si>
    <t>Date</t>
  </si>
  <si>
    <t>Assignment Task</t>
  </si>
  <si>
    <t>Task start</t>
  </si>
  <si>
    <t>Task completed when</t>
  </si>
  <si>
    <t>Time estimate (in min)</t>
  </si>
  <si>
    <t>Concerns or comments (in words)</t>
  </si>
  <si>
    <t>Real Time (in min)</t>
  </si>
  <si>
    <t>Preparation</t>
  </si>
  <si>
    <t>Obtain specification, SoW pack and report template</t>
  </si>
  <si>
    <t>Report structure set up; Group 13 roles confirmed</t>
  </si>
  <si>
    <t>Split the reading with my partner and compared notes afterwards so we both worked from the same requirement set. (45 min each)</t>
  </si>
  <si>
    <t>Set up folder structure and risk-register template</t>
  </si>
  <si>
    <t>Repo layout and meeting-notes folder created</t>
  </si>
  <si>
    <t>Started the risk register from a blank template - only the categories were drafted on day one. (split task)</t>
  </si>
  <si>
    <t>Requirements analysis</t>
  </si>
  <si>
    <t>Study EngDes26 SysRS v1.0 and the REII SoW</t>
  </si>
  <si>
    <t>REII-relevant clauses highlighted (FR12, FR13, PHY2/3, DR4/DR5)</t>
  </si>
  <si>
    <t>SysRS is Rev 0 'for discussion' with Sec 5.1 verification methods deferred - logged that as an open item instead of assuming values.</t>
  </si>
  <si>
    <t>RF Characterisation - plan</t>
  </si>
  <si>
    <t>Set up PlatformIO test firmware; check both nRF24L01 boards</t>
  </si>
  <si>
    <t>Firmware built and flashed; live link proved on dev boards</t>
  </si>
  <si>
    <t>The checkpoint task needs a live link first; both boards came up on the control channel.</t>
  </si>
  <si>
    <t>Apply the course requirement-parsing template</t>
  </si>
  <si>
    <t>First 7 candidate REII requirements drafted</t>
  </si>
  <si>
    <t>Used the actor-condition-shall-action-object-constraint template from the course notes; wording still to be reviewed with the team.</t>
  </si>
  <si>
    <t>RF Characterisation - execute</t>
  </si>
  <si>
    <t>Distance sweep 1-190 m, ACK and NOACK, both rates</t>
  </si>
  <si>
    <t>CSVs saved under rf_characterisation/results/</t>
  </si>
  <si>
    <t>NOACK PER degrades badly at 190 m (1 Mbps 80.00 %, 2 Mbps 38.10 %) - captured as a risk rather than glossed over.</t>
  </si>
  <si>
    <t>Risk analysis</t>
  </si>
  <si>
    <t>Draft initial risk register (technical, interface, schedule, safety)</t>
  </si>
  <si>
    <t>Risk register v0.1: 16 risks with owners</t>
  </si>
  <si>
    <t>Includes the unsigned ICD, controller-board delivery date, rail access and far-end link margin.</t>
  </si>
  <si>
    <t>Context diagram</t>
  </si>
  <si>
    <t>Draft the system context diagram in Draw.io</t>
  </si>
  <si>
    <t>SCD v0.1: operator, dashboard, dongle, controller, crane</t>
  </si>
  <si>
    <t>System-of-Interest boundary kept at PC dashboard + NodeMCU-32S (ESP32) USB ground-station dongle per the ICD.</t>
  </si>
  <si>
    <t>Interference benchmark and channel survey</t>
  </si>
  <si>
    <t>Channel occupancy captured; candidate channels shortlisted</t>
  </si>
  <si>
    <t>Campus Wi-Fi occupancy checked; candidate set [4, 50, 73, 77, 81] kept 4 or more channels apart (proposal only).</t>
  </si>
  <si>
    <t>Meeting - team</t>
  </si>
  <si>
    <t>Team meeting: requirement ownership and checkpoint split</t>
  </si>
  <si>
    <t>Actions recorded in meeting notes</t>
  </si>
  <si>
    <t>Agreed who drafts which section; RF report before architecture. Both attended, actions dated.</t>
  </si>
  <si>
    <t>System Architecture Design</t>
  </si>
  <si>
    <t>Draft system architecture model (F/U 6.0 Remote Controller)</t>
  </si>
  <si>
    <t>6.1-6.5 decomposition laid out</t>
  </si>
  <si>
    <t>Dashboard application, dongle MCU, nRF24L01 module, antenna and USB power split as separate units; kept consistent with the SCD.</t>
  </si>
  <si>
    <t>FFBD Development</t>
  </si>
  <si>
    <t>Start system FFBD - top-level function flow</t>
  </si>
  <si>
    <t>Connect - command - telemetry chain drafted</t>
  </si>
  <si>
    <t>Following the P2 slide style; numbering chosen so functions can later be traced to requirements.</t>
  </si>
  <si>
    <t>Repeatability spot-checks and best-channel decision data</t>
  </si>
  <si>
    <t>Rate/mode comparison table drafted</t>
  </si>
  <si>
    <t>Every distance/rate point is a single burst (n = 1) - recorded as a limitation for the report.</t>
  </si>
  <si>
    <t>Decompose REII branches 3.2 / 3.3 / 3.5</t>
  </si>
  <si>
    <t>REII sub-functions drafted and numbered</t>
  </si>
  <si>
    <t>3.2 link setup, 3.3 operator-command path, 3.5 telemetry path; handshake wording left open pending the ICD discussion.</t>
  </si>
  <si>
    <t>RF Characterisation - report</t>
  </si>
  <si>
    <t>Start RF report: method, setup, Tables 1-2</t>
  </si>
  <si>
    <t>Sections 1-3 drafted</t>
  </si>
  <si>
    <t>Setup photos and table values taken straight from the CSVs - no number typed from memory.</t>
  </si>
  <si>
    <t>Figures: PER vs distance, channel-survey plots</t>
  </si>
  <si>
    <t>Figure list and captions drafted</t>
  </si>
  <si>
    <t>Plots regenerated from the raw CSVs so the figures match the data exactly.</t>
  </si>
  <si>
    <t>Team review of the RF report draft</t>
  </si>
  <si>
    <t>Comments merged into the report</t>
  </si>
  <si>
    <t>Partner flagged two unclear table captions; fixed before the final polish pass.</t>
  </si>
  <si>
    <t>RF Configuration</t>
  </si>
  <si>
    <t>Fill the recommended configuration (channel, rate, PA, ARC/ARD)</t>
  </si>
  <si>
    <t>Recommended config drafted: ch 77, 2 Mbps, PA_MAX, ARC 5, ARD 500 us</t>
  </si>
  <si>
    <t>ARC 5 (ICD) vs ARC 15 (test firmware) conflict noted as an open item instead of silently picking one.</t>
  </si>
  <si>
    <t>Polish report, check figures, export final PDF</t>
  </si>
  <si>
    <t>Individual checkpoint submission uploaded</t>
  </si>
  <si>
    <t>Checkpoint due today (11 Sep); final read-through for captions and references.</t>
  </si>
  <si>
    <t>Documentation</t>
  </si>
  <si>
    <t>Post-submission checkpoint notes and questions</t>
  </si>
  <si>
    <t>Follow-up question list prepared</t>
  </si>
  <si>
    <t>Wrote down follow-ups (verification methods, PT3 threshold) instead of guessing the values.</t>
  </si>
  <si>
    <t>ICD Drafting</t>
  </si>
  <si>
    <t>Read ICD template; draft Sec 1 (physical) and Sec 2 (data-link)</t>
  </si>
  <si>
    <t>Sec 1-2 drafted from the measured RF configuration</t>
  </si>
  <si>
    <t>I3 begins this week - ICD drafted in week 1. Table 2 values taken from our own measured configuration.</t>
  </si>
  <si>
    <t>I3 kick-off: ICD ownership and signature plan</t>
  </si>
  <si>
    <t>Owner and sign-off route agreed</t>
  </si>
  <si>
    <t>Agreed to draft first, then hold the payload workshop with MCTR/EEII before any signature.</t>
  </si>
  <si>
    <t>Draft Sec 3 application-layer direction</t>
  </si>
  <si>
    <t>Sec 3 direction text written; Sec 4 left TBD</t>
  </si>
  <si>
    <t>Sec 4 (32-byte maps) deliberately left TBD - no invented application byte maps.</t>
  </si>
  <si>
    <t>Cross-check requirements against SoW scope</t>
  </si>
  <si>
    <t>REII scope items 1-6 mapped to requirements</t>
  </si>
  <si>
    <t>Kept SoW scope separate from SysRS requirements; where they differ, the difference was noted rather than merged.</t>
  </si>
  <si>
    <t>Team meeting: reliability model and the ARC conflict</t>
  </si>
  <si>
    <t>Decision note drafted; conflict logged</t>
  </si>
  <si>
    <t>FFBD 'handshake' vs ICD 'no software ARQ' discussed; interpretation recorded as open item V-02 for the controller owner.</t>
  </si>
  <si>
    <t>Review FFBD against the ICD draft wording</t>
  </si>
  <si>
    <t>Reconciliation notes written</t>
  </si>
  <si>
    <t>Did not edit either artefact - conflicts listed so they can be resolved at the ICD freeze.</t>
  </si>
  <si>
    <t>Contradictions / assumptions</t>
  </si>
  <si>
    <t>Log contradictions (legacy numbers, 50 ms internal target)</t>
  </si>
  <si>
    <t>Contradiction register updated in the progress record</t>
  </si>
  <si>
    <t>Legacy requirement numbers vs SysRS clause numbers recorded as a conflict to report, not to resolve quietly.</t>
  </si>
  <si>
    <t>Application Protocol Design</t>
  </si>
  <si>
    <t>Collect protocol constraints and open questions</t>
  </si>
  <si>
    <t>Q1-Q15 open-question list drafted</t>
  </si>
  <si>
    <t>Constraints sourced from the ICD, RF configuration and SysRS only; anything unsourced marked TBD.</t>
  </si>
  <si>
    <t>I3 week-1 wrap-up: decisions D-00a/b recorded</t>
  </si>
  <si>
    <t>Decision-log entries written with dates and owners</t>
  </si>
  <si>
    <t>Agreed to record every decision with date, owner and evidence; D-01 left open pending the payload workshop.</t>
  </si>
  <si>
    <t>Update progress and milestone record</t>
  </si>
  <si>
    <t>Statuses re-checked against repository evidence</t>
  </si>
  <si>
    <t>Only the RF campaign carries measured evidence; everything else kept at its honest status.</t>
  </si>
  <si>
    <t>Draft protocol proposal: requirement-to-field mapping</t>
  </si>
  <si>
    <t>Proposal Sec 1-5 written</t>
  </si>
  <si>
    <t>Each field traced back to a requirement; no field added without a source.</t>
  </si>
  <si>
    <t>Define alternatives and weighted criteria</t>
  </si>
  <si>
    <t>9 alternative pairs; criteria C1-C9 defined</t>
  </si>
  <si>
    <t>Criteria weighted before scoring so the trade study was not fitted to a preferred answer.</t>
  </si>
  <si>
    <t>Run the trade study; draft the candidate downlink map</t>
  </si>
  <si>
    <t>Scoring complete; Sec 6-10 drafted</t>
  </si>
  <si>
    <t>Marginal scores flagged where criteria nearly tie; the downlink map is still PROPOSED, not agreed.</t>
  </si>
  <si>
    <t>Draft uplink map, enum tables and the 32-byte arithmetic proof</t>
  </si>
  <si>
    <t>Sec 11-12 and Sec 18 complete; byte count checked</t>
  </si>
  <si>
    <t>Kept the 32-byte constraint explicit - proved both maps fit before presenting them.</t>
  </si>
  <si>
    <t>Team review of the application-protocol proposal</t>
  </si>
  <si>
    <t>Review comments captured and applied</t>
  </si>
  <si>
    <t>Partner checked the field list against FR12/FR13; two telemetry fields re-worded.</t>
  </si>
  <si>
    <t>Complete proposal Sec 13-20 (validation, safety, proposed ICD Sec 4)</t>
  </si>
  <si>
    <t>Proposal document complete (status: PROPOSAL only)</t>
  </si>
  <si>
    <t>Reliability section separates L1-L6 so the FFBD/ICD clash is addressed without adding an application-level ARQ.</t>
  </si>
  <si>
    <t>Re-score risks after the protocol and ICD work</t>
  </si>
  <si>
    <t>Risk register v0.2 with mitigations and owners</t>
  </si>
  <si>
    <t>Added 'late Sec 4 freeze invalidates firmware' and 'component scales wrong by a factor' risks.</t>
  </si>
  <si>
    <t>Confirm the source-authority hierarchy</t>
  </si>
  <si>
    <t>Authority notes corrected in the rules and source files</t>
  </si>
  <si>
    <t>SysRS = requirements authority; SoW = own scope; ICD = interface authority only once signed.</t>
  </si>
  <si>
    <t>I3 Planning</t>
  </si>
  <si>
    <t>Review the I3 planning pack (week plan, actions, decision log)</t>
  </si>
  <si>
    <t>Open items D-01..D-06 and F-01..F-09 listed</t>
  </si>
  <si>
    <t>Nothing marked done without evidence; empty TEST_LOG measurement rows were left empty.</t>
  </si>
  <si>
    <t>Team meeting: what we need from MCTR and EEII</t>
  </si>
  <si>
    <t>Ask-list drafted for the other packages</t>
  </si>
  <si>
    <t>Payload-workshop prerequisites and the controller-spec request written down for the group chat.</t>
  </si>
  <si>
    <t>Draft interface-matrix rows and evidence paths</t>
  </si>
  <si>
    <t>Matrix rows drafted with CSV/log targets</t>
  </si>
  <si>
    <t>Rows aligned to 5/10 m LOS, an NLOS point and the RF survey; blank rows are not passes - NCRs needed on failure.</t>
  </si>
  <si>
    <t>Safety / validation</t>
  </si>
  <si>
    <t>Note the PHY2 hardware e-stop vs dashboard e-stop distinction</t>
  </si>
  <si>
    <t>Safety-boundary note added to the validation record</t>
  </si>
  <si>
    <t>The dashboard e-stop flag must not be presented as the hardware safety stop.</t>
  </si>
  <si>
    <t>Meeting: participation evidence and rail access</t>
  </si>
  <si>
    <t>Questions prepared for the lecturer (F-08)</t>
  </si>
  <si>
    <t>No rail dates exist in the repository - the booking must be made explicitly; flagged as an action.</t>
  </si>
  <si>
    <t>Dashboard Requirements</t>
  </si>
  <si>
    <t>Extract FR12/FR13 into dashboard requirement notes</t>
  </si>
  <si>
    <t>Telemetry and command lists drafted</t>
  </si>
  <si>
    <t>Internal 50 ms fault-display target recorded as an internal target, not as a SysRS requirement.</t>
  </si>
  <si>
    <t>Review week plan weeks 7-10 against the real calendar</t>
  </si>
  <si>
    <t>Week plan checked; dependencies listed</t>
  </si>
  <si>
    <t>Board delivery (9 Oct estimate) and the unknown rail slot pulled out as blockers.</t>
  </si>
  <si>
    <t>Project Planning</t>
  </si>
  <si>
    <t>Add REII entries to the shared group milestone calendar</t>
  </si>
  <si>
    <t>17 dated REII entries written to Group_milestones.xlsx</t>
  </si>
  <si>
    <t>Gates labelled 'planned, not agreed' - the dates are ours to propose, not course-agreed.</t>
  </si>
  <si>
    <t>Restructure the project dashboard README</t>
  </si>
  <si>
    <t>Gist, status board, decisions and open questions rebuilt</t>
  </si>
  <si>
    <t>Status board mirrored from the progress file so the two records do not drift apart.</t>
  </si>
  <si>
    <t>Prepare the R12-R16 approval list and circulation note</t>
  </si>
  <si>
    <t>Circulation message ready for the other packages</t>
  </si>
  <si>
    <t>Questions phrased so the answers can be dropped straight into the decision log.</t>
  </si>
  <si>
    <t>Group 13 meeting: ICD-001 scope, report &amp; integration targets</t>
  </si>
  <si>
    <t>Agreed Group 13 ICD-001 outline and subsystem interface owners</t>
  </si>
  <si>
    <t>Confirmed Group 13 work package allocations (REII, MCTR 1, MCTR 2, EEII 1, EEII 2) and set 23 Oct as the ICD-001 Rev A release date.</t>
  </si>
  <si>
    <t>Integration Planning</t>
  </si>
  <si>
    <t>List pre-integration test prerequisites (Sec 4.1 &amp; Sec 4.2)</t>
  </si>
  <si>
    <t>4-stage REII integration checklist drafted (IF-E1.0 to FU8)</t>
  </si>
  <si>
    <t>Defined the step-by-step verification stages: (1) USB link IF-E1.0, (2) 2.4 GHz air link IF10.0, (3) Header J1/J3.3 SPI &amp; CE, and (4) full group signal handshake.</t>
  </si>
  <si>
    <t>Review open interface questions across MCTR 1/2 and EEII 1/2</t>
  </si>
  <si>
    <t>Cross-package interface question list finalised</t>
  </si>
  <si>
    <t>Clarified encoder 5 V to 3.3 V level shifting (MCTR 1), 24-bit ADC channels (MCTR 2 / EEII 1 / EEII 2), and optical isolation on VFD PWM lines.</t>
  </si>
  <si>
    <t>Report Writing Plan</t>
  </si>
  <si>
    <t>Draft Group 13 report &amp; ICD-001 section ownership</t>
  </si>
  <si>
    <t>Outline circulated; Section 2.5, 3.5, 4 &amp; 5.5 assigned</t>
  </si>
  <si>
    <t>Target submission 23 Oct (ICD-001 Rev A); assigned IF1.0, IF6.0, IF10.0, Section 3.5 design decisions, Section 4 test plans, and Section 5.5 progress.</t>
  </si>
  <si>
    <t>Map October milestone gates to day-by-day actions (9-23 Oct)</t>
  </si>
  <si>
    <t>Action list built for ESP32-S3 &amp; NodeMCU-32S bring-up</t>
  </si>
  <si>
    <t>Aligned REII milestones (schematic check, dual-node firmware, 200-packet smoke test, and ICD-001 report) to the 23 Oct submission date.</t>
  </si>
  <si>
    <t>Hardware Bring-Up</t>
  </si>
  <si>
    <t>Receive shared ESP32-S3 carrier board (FU8) &amp; 5-sheet schematic</t>
  </si>
  <si>
    <t>Board powered; 5-sheet schematic stored and inspected</t>
  </si>
  <si>
    <t>Selected NodeMCU-32S (ESP32) for the USB ground station instead of Arduino Nano because 115 mA nRF24L01+ TX bursts caused Nano 3.3 V brownouts.</t>
  </si>
  <si>
    <t>Main Board Pin Map</t>
  </si>
  <si>
    <t>Audit all 5 sheets of ESP32-S3 carrier schematic (Headers J1-J9)</t>
  </si>
  <si>
    <t>Complete J1-J9 pin allocation table locked for all 5 packages</t>
  </si>
  <si>
    <t>Reserved Header J7 for hardware timers (EEII 1 SPWM J7.6-J7.8, EEII 2 PWM J7.5, MCTR 1 PWM J7.9 &amp; encoder J7.12); placed ON/OFF logic on J3/J4, analog on J6, and REII SPI on J1 + CE on J3.3.</t>
  </si>
  <si>
    <t>ESP32-S3 Crane Firmware</t>
  </si>
  <si>
    <t>Scaffold ESP32-S3 crane firmware (SPI on J1, CE on J3.3, ADS1220)</t>
  </si>
  <si>
    <t>Project builds in ESP-IDF; 4 MHz SPI &amp; nRF24 PRX init ready</t>
  </si>
  <si>
    <t>Capped Header J1 SPI clock at 4 MHz for clean signal edges on &lt;= 150 mm jumpers and ensured CS lines stay mutually exclusive across radio, ADC, and SD.</t>
  </si>
  <si>
    <t>Prepare 32-byte fixed-point payload workshop options for Group 13</t>
  </si>
  <si>
    <t>Downlink (0xA5) and Uplink (0x81) byte-map options circulated</t>
  </si>
  <si>
    <t>Used whole-number scaling (mm for position, mm/s for speed, kg x 10 for load cell, A x 10 for VFD and magnet current) to avoid floating-point rounding.</t>
  </si>
  <si>
    <t>Meeting - cross-package</t>
  </si>
  <si>
    <t>Group 13 interface &amp; 32-byte payload workshop (MCTR 1/2, EEII 1/2)</t>
  </si>
  <si>
    <t>All subsystem pins and 32-byte telemetry fields agreed</t>
  </si>
  <si>
    <t>Locked MCTR 1 PWM/dir/encoder (IF1.0), EEII 1 3-phase SPWM &amp; current (IF6.0), EEII 2 magnet PWM &amp; Byte 14 coil current (J6.8), and MCTR 2 load cell &amp; brake (J4.8).</t>
  </si>
  <si>
    <t>Freeze IF10.0 32-byte Downlink (0xA5) &amp; Uplink ACK (0x81) maps</t>
  </si>
  <si>
    <t>IF10.0 specification, pinout and payload tables completed</t>
  </si>
  <si>
    <t>Completed full IF10.0 ICD tables including 8-bit fault_flags (Byte 17) and system_health (Byte 18) plus MCU-side specifications for IF1.0 and IF6.0.</t>
  </si>
  <si>
    <t>Update Group 13 interface inventory (Table 6) and functional units</t>
  </si>
  <si>
    <t>FU1-FU11 and IF1.0-IF15.0 mapped in System Block Diagram</t>
  </si>
  <si>
    <t>Synchronized Table 5 (Functional Units) and Table 6 (Interface Inventory) with Figure 1 System Block Diagram across all five disciplines.</t>
  </si>
  <si>
    <t>Ground-Station Bring-Up</t>
  </si>
  <si>
    <t>NodeMCU-32S ground station (COM10): USB-CDC echo &amp; decoupling</t>
  </si>
  <si>
    <t>10 uF + 100 nF caps soldered; USB serial CLI (ECHO/INFO) verified</t>
  </si>
  <si>
    <t>Soldered 10 uF electrolytic + 100 nF ceramic decoupling capacitors directly across nRF Pins 1 &amp; 2 on both radios; verified 115 200 bit/s USB serial link.</t>
  </si>
  <si>
    <t>RF Bench Verification</t>
  </si>
  <si>
    <t>Execute TEST-REII-01 &amp; TEST-REII-03: 200-packet live smoke test</t>
  </si>
  <si>
    <t>Run 20261016_125349 logged (smoke.csv, groundstation.log, rig.log)</t>
  </si>
  <si>
    <t>Verified isPVariant=1 and app_ch=77 (2477 MHz, 2 Mbps, ARC=5, ARD=500 us). Achieved 200/200 rig RX (PING #5-#204), 192/200 Auto-ACKs (4.0% PER), and 0.89 ms avg RTT (2.0 ms max) with concurrent ADS1220 &amp; AHT20 polling.</t>
  </si>
  <si>
    <t>Audit Run 20261016_125349 logs &amp; close-range PA_MAX LNA behaviour</t>
  </si>
  <si>
    <t>Confirmed 8 return-ACK drops were close-range (&lt;1 m) PA_MAX saturation</t>
  </si>
  <si>
    <t>Cross-checked smoke.csv timeouts (#18, #96, #97, #130, #152, #160, #190, #200) against rig.log: all 200 forward PINGs arrived; documented PA_LOW rule for &lt;2 m bench tests.</t>
  </si>
  <si>
    <t>Application Protocol Code</t>
  </si>
  <si>
    <t>Implement 32-byte command (0xA5) &amp; ACK-payload (0x81) serialization</t>
  </si>
  <si>
    <t>Fixed-point pack/unpack and static_assert(sizeof == 32) verified</t>
  </si>
  <si>
    <t>Included EEII 2 magnet coil current on Byte 14 (0.1 A scale on pin J6.8), sequence counter duplicate filtering, and CRC-16 + magic-byte validation.</t>
  </si>
  <si>
    <t>Anti-Sway &amp; Path Planning</t>
  </si>
  <si>
    <t>Implement rope-length-aware smooth anti-sway speed ramp generator</t>
  </si>
  <si>
    <t>Open-loop acceleration/deceleration ramp calculator completed</t>
  </si>
  <si>
    <t>Designed self-ending velocity ramps on the PC dashboard so wireless jitter cannot destabilize load swing and lost-link timeouts stop motion safely.</t>
  </si>
  <si>
    <t>PC Operator Dashboard</t>
  </si>
  <si>
    <t>Build Python PC control dashboard (controls, live telemetry &amp; faults)</t>
  </si>
  <si>
    <t>Dashboard GUI connected to NodeMCU-32S USB serial bridge</t>
  </si>
  <si>
    <t>Implemented trolley/hoist/magnet controls, live sensor readouts (mm, mm/s, kg, A), simultaneous 8-bit fault checklist alerts, and software stop flag.</t>
  </si>
  <si>
    <t>Report Writing</t>
  </si>
  <si>
    <t>Draft Group 13 Report &amp; ICD-001 (Sections 2.5, 2.6, 3.5, 4 &amp; 5.5)</t>
  </si>
  <si>
    <t>REII ICD tables, design decisions, and integration plans merged into v7</t>
  </si>
  <si>
    <t>Compiled detailed pin/signal definitions for IF1.0, IF6.0, and IF10.0, Section 2.6 acceptance table (TEST-REII-01..04), and Section 3.5/4.1-4.3 text.</t>
  </si>
  <si>
    <t>Expand Section 5.5 progress with Milestone 4 smoke.csv plot &amp; logs</t>
  </si>
  <si>
    <t>3-page Section 5.5 DOCX &amp; Figure 5.5-2 generated from smoke.csv</t>
  </si>
  <si>
    <t>Plotted per-round RTT, ACK distribution, and cumulative delivery from Run 20261016_125349; referenced groundstation.log and rig.log and prepared Figure 5.5-1 photo box.</t>
  </si>
  <si>
    <t>Report Finalisation</t>
  </si>
  <si>
    <t>Insert bench setup photo (Fig 5.5-1); final review &amp; submit ICD-001 Rev A</t>
  </si>
  <si>
    <t>Group 13 Engineering Design Report (ICD-001 Rev A) finalised</t>
  </si>
  <si>
    <t>Inserted MCU &amp; ground-station bench photograph into Section 5.5, verified all Table of Contents/Figures/Tables numbering, and exported final Group 13 PDF.</t>
  </si>
  <si>
    <t>Pre-Integration Testing</t>
  </si>
  <si>
    <t>Unpowered FU8 pin &amp; 32-byte payload handshake check (Sec 4.2 Stage 4)</t>
  </si>
  <si>
    <t>Bench verification of dashboard commands to J3, J4 &amp; J7 headers</t>
  </si>
  <si>
    <t>Verified with high-voltage power off that 32-byte packets toggle MCTR 1 (J7.9, J4.4-J4.5), EEII 1 (J7.6-J7.8, J3.4), MCTR 2 brake (J4.8), and EEII 2 magnet (J7.5, J3.6).</t>
  </si>
  <si>
    <t>Pre-Integration - MCTR 1</t>
  </si>
  <si>
    <t>Interface IF1.0 bench test: HW-095 PWM/direction &amp; encoder pulse divider</t>
  </si>
  <si>
    <t>PLANNED: Verify 1-10 kHz PWM on J7.9 and 3.3 V stepped-down encoder on J7.12</t>
  </si>
  <si>
    <t>PLANNED (ICD Sec 4.1 MCTR 1 &amp; REII): Verify 5 V encoder pulse passes through voltage divider/level shifter to &lt;= 3.3 V on J7.12 and counts 1050 ticks/wheel rev accurately.</t>
  </si>
  <si>
    <t>Pre-Integration - MCTR 2</t>
  </si>
  <si>
    <t>Interface IF13.0 &amp; IF15.0: S-type load cell calibration &amp; brake MOSFET test</t>
  </si>
  <si>
    <t>PLANNED: Load cell calibrated in 0.1 kg steps; LR7843 brake clamps on J4.8</t>
  </si>
  <si>
    <t>PLANNED (ICD Sec 4.1 &amp; 5.2 MCTR 2 &amp; REII): Integrate MCTR 2 load cell calibration factor and test fail-safe spring brake release/clamp via Header J4.8.</t>
  </si>
  <si>
    <t>Pre-Integration - EEII 2</t>
  </si>
  <si>
    <t>Interface IF8.0 / IF12.0: Electromagnet PWM (8.33% duty) &amp; coil current sense</t>
  </si>
  <si>
    <t>PLANNED: Verify J7.5 PWM, J3.6 enable, and Byte 14 current scaling on J6.8</t>
  </si>
  <si>
    <t>PLANNED (ICD Sec 2.5 IF8.0 &amp; Sec 4.2): Test 3.3 V-to-5 V level shifter into MOSFET switch module (24 V to 2 V, 7.5 A nominal across 3 E-cores) and verify 0.1 A telemetry.</t>
  </si>
  <si>
    <t>Pre-Integration - EEII 1</t>
  </si>
  <si>
    <t>Interface IF6.0: 3-phase 20 kHz SPWM opto-isolation &amp; VFD fault/current test</t>
  </si>
  <si>
    <t>PLANNED: Verify 120-deg phase separation on J7.6-J7.8, DRV_EN J3.4 &amp; AN2 J6.7</t>
  </si>
  <si>
    <t>PLANNED (ICD Sec 2.5 IF6.0): Confirm 120-deg phase shift on oscilloscope before IGBT power-up to prevent shoot-through; test DRV_FAULT_IN (J3.5) trip and current feedback (J6.7).</t>
  </si>
  <si>
    <t>Control &amp; Path Planning</t>
  </si>
  <si>
    <t>Finalise automated obstacle avoidance path planner &amp; anti-sway tuning</t>
  </si>
  <si>
    <t>PLANNED: Segment-index (Byte 7) automated trajectory verified in simulation</t>
  </si>
  <si>
    <t>PLANNED (ICD Sec 1.1 &amp; Sec 5.5 Milestone 5): Complete obstacle avoidance trajectory stepping (segment_idx Byte 7) and rope-length anti-sway ramp profiles ahead of rail mounting.</t>
  </si>
  <si>
    <t>Final Rail Integration</t>
  </si>
  <si>
    <t>Execute TEST-REII-04 (Sec 4.3): Full-power RF reliability &amp; EMI test on rail</t>
  </si>
  <si>
    <t>PLANNED: &lt; 5% PER and &lt; 4.15 ms RTT verified at 5-10 m under 220 V VFD load</t>
  </si>
  <si>
    <t>PLANNED (ICD Sec 2.6 TEST-REII-04 &amp; Sec 4.3): Switch radios to PA_MAX at 5-10 m around steel crane frame while 220 V VFD (EEII 1), DC motors (MCTR 1), and magnet (EEII 2) switch under load.</t>
  </si>
  <si>
    <t>Execute Sec 4.3 Live Sensor Accuracy &amp; Anti-Sway Swing Comparison on rail</t>
  </si>
  <si>
    <t>PLANNED: Dashboard readouts matched to tape/scale/clamp meter; sway reduced</t>
  </si>
  <si>
    <t>PLANNED (ICD Sec 4.3): Compare dashboard telemetry (trolley_pos mm, hoist_pos mm, load_cell up to 20 kg, VFD &amp; magnet current) against physical instruments and benchmark anti-sway.</t>
  </si>
  <si>
    <t>Final Acceptance Demo</t>
  </si>
  <si>
    <t>Execute Sec 4.3 Lost-Link Safety Timeout &amp; Physical E-Stop Acceptance Test</t>
  </si>
  <si>
    <t>PLANNED: Unplug USB mid-move -&gt; motors stop, brake clamps, magnet holds load</t>
  </si>
  <si>
    <t>PLANNED (ICD Sec 2.6 TEST-REII-04 &amp; Sec 4.3): Verify lost-link watchdog stops carriage/hoist and clamps brake (J4.8) while keeping magnet energized (J7.5) on suspended load; log final TEST_LOG.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</si>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</sst>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-mmm"/>
  </numFmts>
  <fonts count="11" x14ac:knownFonts="1">
    <font>
      <sz val="11"/>
      <color rgb="FF000000"/>
      <name val="Calibri"/>
      <family val="2"/>
      <charset val="1"/>
    </font>
    <font>
      <b/>
      <sz val="14"/>
      <name val="Calibri"/>
      <charset val="1"/>
    </font>
    <font>
      <b/>
      <sz val="11"/>
      <name val="Calibri"/>
      <charset val="1"/>
    </font>
    <font>
      <b/>
      <sz val="11"/>
      <color rgb="FF000000"/>
      <name val="Calibri"/>
      <family val="2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FFC000"/>
      <name val="Calibri"/>
      <family val="2"/>
      <charset val="1"/>
    </font>
    <font>
      <sz val="10"/>
      <color rgb="FFFFC000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00B050"/>
      <name val="Calibri"/>
      <family val="2"/>
      <charset val="1"/>
    </font>
    <font>
      <b/>
      <sz val="10"/>
      <color rgb="FFFF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0" borderId="1" xfId="0" applyBorder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164" fontId="5" fillId="2" borderId="2" xfId="0" applyNumberFormat="1" applyFont="1" applyFill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0" fontId="5" fillId="0" borderId="2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6" fillId="0" borderId="2" xfId="0" applyFont="1" applyBorder="1" applyAlignment="1">
      <alignment vertical="top" wrapText="1"/>
    </xf>
    <xf numFmtId="0" fontId="7" fillId="0" borderId="2" xfId="0" applyFont="1" applyBorder="1" applyAlignment="1">
      <alignment horizontal="center" vertical="top"/>
    </xf>
    <xf numFmtId="3" fontId="4" fillId="2" borderId="0" xfId="0" applyNumberFormat="1" applyFont="1" applyFill="1" applyAlignment="1">
      <alignment horizontal="center"/>
    </xf>
    <xf numFmtId="0" fontId="4" fillId="2" borderId="2" xfId="0" applyFont="1" applyFill="1" applyBorder="1"/>
    <xf numFmtId="0" fontId="4" fillId="3" borderId="2" xfId="0" applyFont="1" applyFill="1" applyBorder="1"/>
    <xf numFmtId="3" fontId="4" fillId="3" borderId="2" xfId="0" applyNumberFormat="1" applyFont="1" applyFill="1" applyBorder="1" applyAlignment="1">
      <alignment horizontal="center"/>
    </xf>
    <xf numFmtId="0" fontId="8" fillId="0" borderId="2" xfId="0" applyFont="1" applyBorder="1" applyAlignment="1">
      <alignment horizontal="center" vertical="top"/>
    </xf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6"/>
  <sheetViews>
    <sheetView tabSelected="1" topLeftCell="A69" zoomScaleNormal="100" zoomScalePageLayoutView="60" workbookViewId="0">
      <selection activeCell="I79" sqref="I79"/>
    </sheetView>
  </sheetViews>
  <sheetFormatPr defaultColWidth="8.7109375" defaultRowHeight="15" x14ac:dyDescent="0.25"/>
  <cols>
    <col min="1" max="1" width="13" style="1" customWidth="1"/>
    <col min="2" max="2" width="26" customWidth="1"/>
    <col min="3" max="4" width="44" customWidth="1"/>
    <col min="5" max="5" width="14" customWidth="1"/>
    <col min="6" max="6" width="64" customWidth="1"/>
    <col min="7" max="7" width="13" style="2" customWidth="1"/>
    <col min="8" max="8" width="15" style="1" customWidth="1"/>
  </cols>
  <sheetData>
    <row r="1" spans="1:8" ht="18.75" customHeight="1" x14ac:dyDescent="0.3">
      <c r="A1" s="3" t="s">
        <v>0</v>
      </c>
      <c r="B1" s="3" t="s">
        <v>1</v>
      </c>
    </row>
    <row r="3" spans="1:8" x14ac:dyDescent="0.25">
      <c r="A3" s="4" t="s">
        <v>2</v>
      </c>
      <c r="C3" s="5">
        <v>13</v>
      </c>
    </row>
    <row r="4" spans="1:8" x14ac:dyDescent="0.25">
      <c r="A4" s="4" t="s">
        <v>3</v>
      </c>
      <c r="C4" t="s">
        <v>4</v>
      </c>
    </row>
    <row r="5" spans="1:8" x14ac:dyDescent="0.25">
      <c r="A5" s="6" t="s">
        <v>5</v>
      </c>
      <c r="C5" s="5">
        <v>40496325</v>
      </c>
    </row>
    <row r="7" spans="1:8" ht="30" customHeight="1" x14ac:dyDescent="0.25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8"/>
    </row>
    <row r="8" spans="1:8" ht="25.5" customHeight="1" x14ac:dyDescent="0.25">
      <c r="A8" s="9">
        <v>46268</v>
      </c>
      <c r="B8" s="20" t="s">
        <v>13</v>
      </c>
      <c r="C8" s="10" t="s">
        <v>14</v>
      </c>
      <c r="D8" s="10" t="s">
        <v>15</v>
      </c>
      <c r="E8" s="11">
        <v>90</v>
      </c>
      <c r="F8" s="10" t="s">
        <v>16</v>
      </c>
      <c r="G8" s="11">
        <v>110</v>
      </c>
      <c r="H8" s="12"/>
    </row>
    <row r="9" spans="1:8" ht="25.5" customHeight="1" x14ac:dyDescent="0.25">
      <c r="A9" s="9">
        <v>46268</v>
      </c>
      <c r="B9" s="20" t="s">
        <v>13</v>
      </c>
      <c r="C9" s="10" t="s">
        <v>17</v>
      </c>
      <c r="D9" s="10" t="s">
        <v>18</v>
      </c>
      <c r="E9" s="11">
        <v>60</v>
      </c>
      <c r="F9" s="10" t="s">
        <v>19</v>
      </c>
      <c r="G9" s="11">
        <v>75</v>
      </c>
      <c r="H9" s="12"/>
    </row>
    <row r="10" spans="1:8" ht="25.5" customHeight="1" x14ac:dyDescent="0.25">
      <c r="A10" s="9">
        <v>46269</v>
      </c>
      <c r="B10" s="20" t="s">
        <v>20</v>
      </c>
      <c r="C10" s="10" t="s">
        <v>21</v>
      </c>
      <c r="D10" s="10" t="s">
        <v>22</v>
      </c>
      <c r="E10" s="11">
        <v>180</v>
      </c>
      <c r="F10" s="10" t="s">
        <v>23</v>
      </c>
      <c r="G10" s="11">
        <v>200</v>
      </c>
      <c r="H10" s="12"/>
    </row>
    <row r="11" spans="1:8" ht="25.5" customHeight="1" x14ac:dyDescent="0.25">
      <c r="A11" s="9">
        <v>46269</v>
      </c>
      <c r="B11" s="20" t="s">
        <v>24</v>
      </c>
      <c r="C11" s="10" t="s">
        <v>25</v>
      </c>
      <c r="D11" s="10" t="s">
        <v>26</v>
      </c>
      <c r="E11" s="11">
        <v>150</v>
      </c>
      <c r="F11" s="10" t="s">
        <v>27</v>
      </c>
      <c r="G11" s="11">
        <v>170</v>
      </c>
      <c r="H11" s="12"/>
    </row>
    <row r="12" spans="1:8" ht="25.5" customHeight="1" x14ac:dyDescent="0.25">
      <c r="A12" s="9">
        <v>46270</v>
      </c>
      <c r="B12" s="20" t="s">
        <v>20</v>
      </c>
      <c r="C12" s="10" t="s">
        <v>28</v>
      </c>
      <c r="D12" s="10" t="s">
        <v>29</v>
      </c>
      <c r="E12" s="11">
        <v>120</v>
      </c>
      <c r="F12" s="10" t="s">
        <v>30</v>
      </c>
      <c r="G12" s="11">
        <v>135</v>
      </c>
      <c r="H12" s="12"/>
    </row>
    <row r="13" spans="1:8" ht="25.5" customHeight="1" x14ac:dyDescent="0.25">
      <c r="A13" s="9">
        <v>46270</v>
      </c>
      <c r="B13" s="20" t="s">
        <v>31</v>
      </c>
      <c r="C13" s="10" t="s">
        <v>32</v>
      </c>
      <c r="D13" s="10" t="s">
        <v>33</v>
      </c>
      <c r="E13" s="11">
        <v>300</v>
      </c>
      <c r="F13" s="10" t="s">
        <v>34</v>
      </c>
      <c r="G13" s="11">
        <v>330</v>
      </c>
      <c r="H13" s="12"/>
    </row>
    <row r="14" spans="1:8" ht="25.5" customHeight="1" x14ac:dyDescent="0.25">
      <c r="A14" s="9">
        <v>46271</v>
      </c>
      <c r="B14" s="20" t="s">
        <v>35</v>
      </c>
      <c r="C14" s="10" t="s">
        <v>36</v>
      </c>
      <c r="D14" s="10" t="s">
        <v>37</v>
      </c>
      <c r="E14" s="11">
        <v>120</v>
      </c>
      <c r="F14" s="10" t="s">
        <v>38</v>
      </c>
      <c r="G14" s="11">
        <v>140</v>
      </c>
      <c r="H14" s="12"/>
    </row>
    <row r="15" spans="1:8" ht="25.5" customHeight="1" x14ac:dyDescent="0.25">
      <c r="A15" s="9">
        <v>46271</v>
      </c>
      <c r="B15" s="20" t="s">
        <v>39</v>
      </c>
      <c r="C15" s="10" t="s">
        <v>40</v>
      </c>
      <c r="D15" s="10" t="s">
        <v>41</v>
      </c>
      <c r="E15" s="11">
        <v>150</v>
      </c>
      <c r="F15" s="10" t="s">
        <v>42</v>
      </c>
      <c r="G15" s="11">
        <v>165</v>
      </c>
      <c r="H15" s="12"/>
    </row>
    <row r="16" spans="1:8" ht="25.5" customHeight="1" x14ac:dyDescent="0.25">
      <c r="A16" s="9">
        <v>46271</v>
      </c>
      <c r="B16" s="20" t="s">
        <v>31</v>
      </c>
      <c r="C16" s="10" t="s">
        <v>43</v>
      </c>
      <c r="D16" s="10" t="s">
        <v>44</v>
      </c>
      <c r="E16" s="11">
        <v>180</v>
      </c>
      <c r="F16" s="10" t="s">
        <v>45</v>
      </c>
      <c r="G16" s="11">
        <v>200</v>
      </c>
      <c r="H16" s="12"/>
    </row>
    <row r="17" spans="1:8" ht="25.5" customHeight="1" x14ac:dyDescent="0.25">
      <c r="A17" s="9">
        <v>46272</v>
      </c>
      <c r="B17" s="20" t="s">
        <v>46</v>
      </c>
      <c r="C17" s="10" t="s">
        <v>47</v>
      </c>
      <c r="D17" s="10" t="s">
        <v>48</v>
      </c>
      <c r="E17" s="11">
        <v>60</v>
      </c>
      <c r="F17" s="10" t="s">
        <v>49</v>
      </c>
      <c r="G17" s="11">
        <v>90</v>
      </c>
      <c r="H17" s="12"/>
    </row>
    <row r="18" spans="1:8" ht="25.5" customHeight="1" x14ac:dyDescent="0.25">
      <c r="A18" s="9">
        <v>46272</v>
      </c>
      <c r="B18" s="20" t="s">
        <v>50</v>
      </c>
      <c r="C18" s="10" t="s">
        <v>51</v>
      </c>
      <c r="D18" s="10" t="s">
        <v>52</v>
      </c>
      <c r="E18" s="11">
        <v>180</v>
      </c>
      <c r="F18" s="10" t="s">
        <v>53</v>
      </c>
      <c r="G18" s="11">
        <v>195</v>
      </c>
      <c r="H18" s="12"/>
    </row>
    <row r="19" spans="1:8" ht="25.5" customHeight="1" x14ac:dyDescent="0.25">
      <c r="A19" s="9">
        <v>46273</v>
      </c>
      <c r="B19" s="20" t="s">
        <v>54</v>
      </c>
      <c r="C19" s="10" t="s">
        <v>55</v>
      </c>
      <c r="D19" s="10" t="s">
        <v>56</v>
      </c>
      <c r="E19" s="11">
        <v>150</v>
      </c>
      <c r="F19" s="10" t="s">
        <v>57</v>
      </c>
      <c r="G19" s="11">
        <v>170</v>
      </c>
      <c r="H19" s="12"/>
    </row>
    <row r="20" spans="1:8" ht="25.5" customHeight="1" x14ac:dyDescent="0.25">
      <c r="A20" s="9">
        <v>46273</v>
      </c>
      <c r="B20" s="20" t="s">
        <v>31</v>
      </c>
      <c r="C20" s="10" t="s">
        <v>58</v>
      </c>
      <c r="D20" s="10" t="s">
        <v>59</v>
      </c>
      <c r="E20" s="11">
        <v>150</v>
      </c>
      <c r="F20" s="10" t="s">
        <v>60</v>
      </c>
      <c r="G20" s="11">
        <v>300</v>
      </c>
      <c r="H20" s="12"/>
    </row>
    <row r="21" spans="1:8" ht="25.5" customHeight="1" x14ac:dyDescent="0.25">
      <c r="A21" s="9">
        <v>46274</v>
      </c>
      <c r="B21" s="20" t="s">
        <v>54</v>
      </c>
      <c r="C21" s="10" t="s">
        <v>61</v>
      </c>
      <c r="D21" s="10" t="s">
        <v>62</v>
      </c>
      <c r="E21" s="11">
        <v>180</v>
      </c>
      <c r="F21" s="10" t="s">
        <v>63</v>
      </c>
      <c r="G21" s="11">
        <v>200</v>
      </c>
      <c r="H21" s="12"/>
    </row>
    <row r="22" spans="1:8" ht="25.5" customHeight="1" x14ac:dyDescent="0.25">
      <c r="A22" s="9">
        <v>46274</v>
      </c>
      <c r="B22" s="20" t="s">
        <v>64</v>
      </c>
      <c r="C22" s="10" t="s">
        <v>65</v>
      </c>
      <c r="D22" s="10" t="s">
        <v>66</v>
      </c>
      <c r="E22" s="11">
        <v>180</v>
      </c>
      <c r="F22" s="10" t="s">
        <v>67</v>
      </c>
      <c r="G22" s="11">
        <v>150</v>
      </c>
      <c r="H22" s="12"/>
    </row>
    <row r="23" spans="1:8" x14ac:dyDescent="0.25">
      <c r="A23" s="9">
        <v>46275</v>
      </c>
      <c r="B23" s="20" t="s">
        <v>64</v>
      </c>
      <c r="C23" s="10" t="s">
        <v>68</v>
      </c>
      <c r="D23" s="10" t="s">
        <v>69</v>
      </c>
      <c r="E23" s="11">
        <v>150</v>
      </c>
      <c r="F23" s="10" t="s">
        <v>70</v>
      </c>
      <c r="G23" s="11">
        <v>120</v>
      </c>
      <c r="H23" s="12"/>
    </row>
    <row r="24" spans="1:8" x14ac:dyDescent="0.25">
      <c r="A24" s="9">
        <v>46275</v>
      </c>
      <c r="B24" s="20" t="s">
        <v>46</v>
      </c>
      <c r="C24" s="10" t="s">
        <v>71</v>
      </c>
      <c r="D24" s="10" t="s">
        <v>72</v>
      </c>
      <c r="E24" s="11">
        <v>60</v>
      </c>
      <c r="F24" s="10" t="s">
        <v>73</v>
      </c>
      <c r="G24" s="11">
        <v>65</v>
      </c>
      <c r="H24" s="12"/>
    </row>
    <row r="25" spans="1:8" ht="25.5" customHeight="1" x14ac:dyDescent="0.25">
      <c r="A25" s="9">
        <v>46275</v>
      </c>
      <c r="B25" s="20" t="s">
        <v>74</v>
      </c>
      <c r="C25" s="10" t="s">
        <v>75</v>
      </c>
      <c r="D25" s="10" t="s">
        <v>76</v>
      </c>
      <c r="E25" s="11">
        <v>90</v>
      </c>
      <c r="F25" s="10" t="s">
        <v>77</v>
      </c>
      <c r="G25" s="11">
        <v>30</v>
      </c>
      <c r="H25" s="12"/>
    </row>
    <row r="26" spans="1:8" ht="25.5" customHeight="1" x14ac:dyDescent="0.25">
      <c r="A26" s="9">
        <v>46276</v>
      </c>
      <c r="B26" s="20" t="s">
        <v>64</v>
      </c>
      <c r="C26" s="10" t="s">
        <v>78</v>
      </c>
      <c r="D26" s="10" t="s">
        <v>79</v>
      </c>
      <c r="E26" s="11">
        <v>180</v>
      </c>
      <c r="F26" s="10" t="s">
        <v>80</v>
      </c>
      <c r="G26" s="11">
        <v>120</v>
      </c>
      <c r="H26" s="12"/>
    </row>
    <row r="27" spans="1:8" ht="25.5" customHeight="1" x14ac:dyDescent="0.25">
      <c r="A27" s="9">
        <v>46276</v>
      </c>
      <c r="B27" s="20" t="s">
        <v>81</v>
      </c>
      <c r="C27" s="10" t="s">
        <v>82</v>
      </c>
      <c r="D27" s="10" t="s">
        <v>83</v>
      </c>
      <c r="E27" s="11">
        <v>45</v>
      </c>
      <c r="F27" s="10" t="s">
        <v>84</v>
      </c>
      <c r="G27" s="11">
        <v>50</v>
      </c>
      <c r="H27" s="12"/>
    </row>
    <row r="28" spans="1:8" ht="25.5" customHeight="1" x14ac:dyDescent="0.25">
      <c r="A28" s="9">
        <v>46279</v>
      </c>
      <c r="B28" s="20" t="s">
        <v>85</v>
      </c>
      <c r="C28" s="10" t="s">
        <v>86</v>
      </c>
      <c r="D28" s="10" t="s">
        <v>87</v>
      </c>
      <c r="E28" s="11">
        <v>210</v>
      </c>
      <c r="F28" s="10" t="s">
        <v>88</v>
      </c>
      <c r="G28" s="11">
        <v>230</v>
      </c>
      <c r="H28" s="12"/>
    </row>
    <row r="29" spans="1:8" ht="25.5" customHeight="1" x14ac:dyDescent="0.25">
      <c r="A29" s="9">
        <v>46279</v>
      </c>
      <c r="B29" s="20" t="s">
        <v>46</v>
      </c>
      <c r="C29" s="10" t="s">
        <v>89</v>
      </c>
      <c r="D29" s="10" t="s">
        <v>90</v>
      </c>
      <c r="E29" s="11">
        <v>60</v>
      </c>
      <c r="F29" s="10" t="s">
        <v>91</v>
      </c>
      <c r="G29" s="11">
        <v>70</v>
      </c>
      <c r="H29" s="12"/>
    </row>
    <row r="30" spans="1:8" ht="25.5" customHeight="1" x14ac:dyDescent="0.25">
      <c r="A30" s="9">
        <v>46280</v>
      </c>
      <c r="B30" s="20" t="s">
        <v>85</v>
      </c>
      <c r="C30" s="10" t="s">
        <v>92</v>
      </c>
      <c r="D30" s="10" t="s">
        <v>93</v>
      </c>
      <c r="E30" s="11">
        <v>150</v>
      </c>
      <c r="F30" s="10" t="s">
        <v>94</v>
      </c>
      <c r="G30" s="11">
        <v>165</v>
      </c>
      <c r="H30" s="12"/>
    </row>
    <row r="31" spans="1:8" ht="25.5" customHeight="1" x14ac:dyDescent="0.25">
      <c r="A31" s="9">
        <v>46280</v>
      </c>
      <c r="B31" s="20" t="s">
        <v>20</v>
      </c>
      <c r="C31" s="10" t="s">
        <v>95</v>
      </c>
      <c r="D31" s="10" t="s">
        <v>96</v>
      </c>
      <c r="E31" s="11">
        <v>120</v>
      </c>
      <c r="F31" s="10" t="s">
        <v>97</v>
      </c>
      <c r="G31" s="11">
        <v>130</v>
      </c>
      <c r="H31" s="12"/>
    </row>
    <row r="32" spans="1:8" ht="25.5" customHeight="1" x14ac:dyDescent="0.25">
      <c r="A32" s="9">
        <v>46281</v>
      </c>
      <c r="B32" s="20" t="s">
        <v>46</v>
      </c>
      <c r="C32" s="10" t="s">
        <v>98</v>
      </c>
      <c r="D32" s="10" t="s">
        <v>99</v>
      </c>
      <c r="E32" s="11">
        <v>75</v>
      </c>
      <c r="F32" s="10" t="s">
        <v>100</v>
      </c>
      <c r="G32" s="11">
        <v>85</v>
      </c>
      <c r="H32" s="12"/>
    </row>
    <row r="33" spans="1:8" ht="25.5" customHeight="1" x14ac:dyDescent="0.25">
      <c r="A33" s="9">
        <v>46281</v>
      </c>
      <c r="B33" s="20" t="s">
        <v>54</v>
      </c>
      <c r="C33" s="10" t="s">
        <v>101</v>
      </c>
      <c r="D33" s="10" t="s">
        <v>102</v>
      </c>
      <c r="E33" s="11">
        <v>90</v>
      </c>
      <c r="F33" s="10" t="s">
        <v>103</v>
      </c>
      <c r="G33" s="11">
        <v>100</v>
      </c>
      <c r="H33" s="12"/>
    </row>
    <row r="34" spans="1:8" ht="25.5" customHeight="1" x14ac:dyDescent="0.25">
      <c r="A34" s="9">
        <v>46282</v>
      </c>
      <c r="B34" s="20" t="s">
        <v>104</v>
      </c>
      <c r="C34" s="10" t="s">
        <v>105</v>
      </c>
      <c r="D34" s="10" t="s">
        <v>106</v>
      </c>
      <c r="E34" s="11">
        <v>120</v>
      </c>
      <c r="F34" s="10" t="s">
        <v>107</v>
      </c>
      <c r="G34" s="11">
        <v>135</v>
      </c>
      <c r="H34" s="12"/>
    </row>
    <row r="35" spans="1:8" ht="25.5" customHeight="1" x14ac:dyDescent="0.25">
      <c r="A35" s="9">
        <v>46282</v>
      </c>
      <c r="B35" s="20" t="s">
        <v>108</v>
      </c>
      <c r="C35" s="10" t="s">
        <v>109</v>
      </c>
      <c r="D35" s="10" t="s">
        <v>110</v>
      </c>
      <c r="E35" s="11">
        <v>150</v>
      </c>
      <c r="F35" s="10" t="s">
        <v>111</v>
      </c>
      <c r="G35" s="11">
        <v>165</v>
      </c>
      <c r="H35" s="12"/>
    </row>
    <row r="36" spans="1:8" ht="25.5" customHeight="1" x14ac:dyDescent="0.25">
      <c r="A36" s="9">
        <v>46283</v>
      </c>
      <c r="B36" s="20" t="s">
        <v>46</v>
      </c>
      <c r="C36" s="10" t="s">
        <v>112</v>
      </c>
      <c r="D36" s="10" t="s">
        <v>113</v>
      </c>
      <c r="E36" s="11">
        <v>60</v>
      </c>
      <c r="F36" s="10" t="s">
        <v>114</v>
      </c>
      <c r="G36" s="11">
        <v>70</v>
      </c>
      <c r="H36" s="12"/>
    </row>
    <row r="37" spans="1:8" ht="25.5" customHeight="1" x14ac:dyDescent="0.25">
      <c r="A37" s="9">
        <v>46283</v>
      </c>
      <c r="B37" s="20" t="s">
        <v>81</v>
      </c>
      <c r="C37" s="10" t="s">
        <v>115</v>
      </c>
      <c r="D37" s="10" t="s">
        <v>116</v>
      </c>
      <c r="E37" s="11">
        <v>60</v>
      </c>
      <c r="F37" s="10" t="s">
        <v>117</v>
      </c>
      <c r="G37" s="11">
        <v>75</v>
      </c>
      <c r="H37" s="12"/>
    </row>
    <row r="38" spans="1:8" ht="25.5" customHeight="1" x14ac:dyDescent="0.25">
      <c r="A38" s="9">
        <v>46286</v>
      </c>
      <c r="B38" s="20" t="s">
        <v>108</v>
      </c>
      <c r="C38" s="10" t="s">
        <v>118</v>
      </c>
      <c r="D38" s="10" t="s">
        <v>119</v>
      </c>
      <c r="E38" s="11">
        <v>240</v>
      </c>
      <c r="F38" s="10" t="s">
        <v>120</v>
      </c>
      <c r="G38" s="11">
        <v>260</v>
      </c>
      <c r="H38" s="12"/>
    </row>
    <row r="39" spans="1:8" ht="25.5" customHeight="1" x14ac:dyDescent="0.25">
      <c r="A39" s="9">
        <v>46287</v>
      </c>
      <c r="B39" s="20" t="s">
        <v>108</v>
      </c>
      <c r="C39" s="10" t="s">
        <v>121</v>
      </c>
      <c r="D39" s="10" t="s">
        <v>122</v>
      </c>
      <c r="E39" s="11">
        <v>210</v>
      </c>
      <c r="F39" s="10" t="s">
        <v>123</v>
      </c>
      <c r="G39" s="11">
        <v>230</v>
      </c>
      <c r="H39" s="12"/>
    </row>
    <row r="40" spans="1:8" ht="25.5" customHeight="1" x14ac:dyDescent="0.25">
      <c r="A40" s="9">
        <v>46288</v>
      </c>
      <c r="B40" s="20" t="s">
        <v>108</v>
      </c>
      <c r="C40" s="10" t="s">
        <v>124</v>
      </c>
      <c r="D40" s="10" t="s">
        <v>125</v>
      </c>
      <c r="E40" s="11">
        <v>240</v>
      </c>
      <c r="F40" s="10" t="s">
        <v>126</v>
      </c>
      <c r="G40" s="11">
        <v>260</v>
      </c>
      <c r="H40" s="12"/>
    </row>
    <row r="41" spans="1:8" ht="25.5" customHeight="1" x14ac:dyDescent="0.25">
      <c r="A41" s="9">
        <v>46289</v>
      </c>
      <c r="B41" s="20" t="s">
        <v>108</v>
      </c>
      <c r="C41" s="10" t="s">
        <v>127</v>
      </c>
      <c r="D41" s="10" t="s">
        <v>128</v>
      </c>
      <c r="E41" s="11">
        <v>210</v>
      </c>
      <c r="F41" s="10" t="s">
        <v>129</v>
      </c>
      <c r="G41" s="11">
        <v>230</v>
      </c>
      <c r="H41" s="12"/>
    </row>
    <row r="42" spans="1:8" ht="25.5" customHeight="1" x14ac:dyDescent="0.25">
      <c r="A42" s="9">
        <v>46289</v>
      </c>
      <c r="B42" s="20" t="s">
        <v>46</v>
      </c>
      <c r="C42" s="10" t="s">
        <v>130</v>
      </c>
      <c r="D42" s="10" t="s">
        <v>131</v>
      </c>
      <c r="E42" s="11">
        <v>60</v>
      </c>
      <c r="F42" s="10" t="s">
        <v>132</v>
      </c>
      <c r="G42" s="11">
        <v>70</v>
      </c>
      <c r="H42" s="12"/>
    </row>
    <row r="43" spans="1:8" ht="25.5" customHeight="1" x14ac:dyDescent="0.25">
      <c r="A43" s="9">
        <v>46290</v>
      </c>
      <c r="B43" s="20" t="s">
        <v>108</v>
      </c>
      <c r="C43" s="10" t="s">
        <v>133</v>
      </c>
      <c r="D43" s="10" t="s">
        <v>134</v>
      </c>
      <c r="E43" s="11">
        <v>270</v>
      </c>
      <c r="F43" s="10" t="s">
        <v>135</v>
      </c>
      <c r="G43" s="11">
        <v>290</v>
      </c>
      <c r="H43" s="12"/>
    </row>
    <row r="44" spans="1:8" ht="25.5" customHeight="1" x14ac:dyDescent="0.25">
      <c r="A44" s="9">
        <v>46293</v>
      </c>
      <c r="B44" s="20" t="s">
        <v>35</v>
      </c>
      <c r="C44" s="10" t="s">
        <v>136</v>
      </c>
      <c r="D44" s="10" t="s">
        <v>137</v>
      </c>
      <c r="E44" s="11">
        <v>120</v>
      </c>
      <c r="F44" s="10" t="s">
        <v>138</v>
      </c>
      <c r="G44" s="11">
        <v>135</v>
      </c>
      <c r="H44" s="12"/>
    </row>
    <row r="45" spans="1:8" ht="25.5" customHeight="1" x14ac:dyDescent="0.25">
      <c r="A45" s="9">
        <v>46294</v>
      </c>
      <c r="B45" s="20" t="s">
        <v>81</v>
      </c>
      <c r="C45" s="10" t="s">
        <v>139</v>
      </c>
      <c r="D45" s="10" t="s">
        <v>140</v>
      </c>
      <c r="E45" s="11">
        <v>90</v>
      </c>
      <c r="F45" s="10" t="s">
        <v>141</v>
      </c>
      <c r="G45" s="11">
        <v>105</v>
      </c>
      <c r="H45" s="12"/>
    </row>
    <row r="46" spans="1:8" ht="25.5" customHeight="1" x14ac:dyDescent="0.25">
      <c r="A46" s="9">
        <v>46295</v>
      </c>
      <c r="B46" s="20" t="s">
        <v>142</v>
      </c>
      <c r="C46" s="10" t="s">
        <v>143</v>
      </c>
      <c r="D46" s="10" t="s">
        <v>144</v>
      </c>
      <c r="E46" s="11">
        <v>150</v>
      </c>
      <c r="F46" s="10" t="s">
        <v>145</v>
      </c>
      <c r="G46" s="11">
        <v>165</v>
      </c>
      <c r="H46" s="12"/>
    </row>
    <row r="47" spans="1:8" ht="25.5" customHeight="1" x14ac:dyDescent="0.25">
      <c r="A47" s="9">
        <v>46295</v>
      </c>
      <c r="B47" s="20" t="s">
        <v>46</v>
      </c>
      <c r="C47" s="10" t="s">
        <v>146</v>
      </c>
      <c r="D47" s="10" t="s">
        <v>147</v>
      </c>
      <c r="E47" s="11">
        <v>60</v>
      </c>
      <c r="F47" s="10" t="s">
        <v>148</v>
      </c>
      <c r="G47" s="11">
        <v>70</v>
      </c>
      <c r="H47" s="12"/>
    </row>
    <row r="48" spans="1:8" ht="25.5" customHeight="1" x14ac:dyDescent="0.25">
      <c r="A48" s="9">
        <v>46296</v>
      </c>
      <c r="B48" s="20" t="s">
        <v>142</v>
      </c>
      <c r="C48" s="10" t="s">
        <v>149</v>
      </c>
      <c r="D48" s="10" t="s">
        <v>150</v>
      </c>
      <c r="E48" s="11">
        <v>150</v>
      </c>
      <c r="F48" s="10" t="s">
        <v>151</v>
      </c>
      <c r="G48" s="11">
        <v>165</v>
      </c>
      <c r="H48" s="12"/>
    </row>
    <row r="49" spans="1:8" ht="25.5" customHeight="1" x14ac:dyDescent="0.25">
      <c r="A49" s="9">
        <v>46297</v>
      </c>
      <c r="B49" s="20" t="s">
        <v>152</v>
      </c>
      <c r="C49" s="10" t="s">
        <v>153</v>
      </c>
      <c r="D49" s="10" t="s">
        <v>154</v>
      </c>
      <c r="E49" s="11">
        <v>90</v>
      </c>
      <c r="F49" s="10" t="s">
        <v>155</v>
      </c>
      <c r="G49" s="11">
        <v>105</v>
      </c>
      <c r="H49" s="12"/>
    </row>
    <row r="50" spans="1:8" ht="25.5" customHeight="1" x14ac:dyDescent="0.25">
      <c r="A50" s="9">
        <v>46297</v>
      </c>
      <c r="B50" s="20" t="s">
        <v>46</v>
      </c>
      <c r="C50" s="10" t="s">
        <v>156</v>
      </c>
      <c r="D50" s="10" t="s">
        <v>157</v>
      </c>
      <c r="E50" s="11">
        <v>45</v>
      </c>
      <c r="F50" s="10" t="s">
        <v>158</v>
      </c>
      <c r="G50" s="11">
        <v>55</v>
      </c>
      <c r="H50" s="12"/>
    </row>
    <row r="51" spans="1:8" ht="25.5" customHeight="1" x14ac:dyDescent="0.25">
      <c r="A51" s="9">
        <v>46298</v>
      </c>
      <c r="B51" s="20" t="s">
        <v>159</v>
      </c>
      <c r="C51" s="10" t="s">
        <v>160</v>
      </c>
      <c r="D51" s="10" t="s">
        <v>161</v>
      </c>
      <c r="E51" s="11">
        <v>120</v>
      </c>
      <c r="F51" s="10" t="s">
        <v>162</v>
      </c>
      <c r="G51" s="11">
        <v>135</v>
      </c>
      <c r="H51" s="12"/>
    </row>
    <row r="52" spans="1:8" ht="25.5" customHeight="1" x14ac:dyDescent="0.25">
      <c r="A52" s="9">
        <v>46299</v>
      </c>
      <c r="B52" s="20" t="s">
        <v>142</v>
      </c>
      <c r="C52" s="10" t="s">
        <v>163</v>
      </c>
      <c r="D52" s="10" t="s">
        <v>164</v>
      </c>
      <c r="E52" s="11">
        <v>90</v>
      </c>
      <c r="F52" s="10" t="s">
        <v>165</v>
      </c>
      <c r="G52" s="11">
        <v>100</v>
      </c>
      <c r="H52" s="12"/>
    </row>
    <row r="53" spans="1:8" ht="25.5" customHeight="1" x14ac:dyDescent="0.25">
      <c r="A53" s="9">
        <v>46300</v>
      </c>
      <c r="B53" s="20" t="s">
        <v>166</v>
      </c>
      <c r="C53" s="10" t="s">
        <v>167</v>
      </c>
      <c r="D53" s="10" t="s">
        <v>168</v>
      </c>
      <c r="E53" s="11">
        <v>150</v>
      </c>
      <c r="F53" s="10" t="s">
        <v>169</v>
      </c>
      <c r="G53" s="11">
        <v>165</v>
      </c>
      <c r="H53" s="12"/>
    </row>
    <row r="54" spans="1:8" ht="25.5" customHeight="1" x14ac:dyDescent="0.25">
      <c r="A54" s="9">
        <v>46300</v>
      </c>
      <c r="B54" s="20" t="s">
        <v>81</v>
      </c>
      <c r="C54" s="10" t="s">
        <v>170</v>
      </c>
      <c r="D54" s="10" t="s">
        <v>171</v>
      </c>
      <c r="E54" s="11">
        <v>180</v>
      </c>
      <c r="F54" s="10" t="s">
        <v>172</v>
      </c>
      <c r="G54" s="11">
        <v>200</v>
      </c>
      <c r="H54" s="12"/>
    </row>
    <row r="55" spans="1:8" ht="25.5" customHeight="1" x14ac:dyDescent="0.25">
      <c r="A55" s="9">
        <v>46303</v>
      </c>
      <c r="B55" s="20" t="s">
        <v>108</v>
      </c>
      <c r="C55" s="10" t="s">
        <v>173</v>
      </c>
      <c r="D55" s="10" t="s">
        <v>174</v>
      </c>
      <c r="E55" s="11">
        <v>90</v>
      </c>
      <c r="F55" s="10" t="s">
        <v>175</v>
      </c>
      <c r="G55" s="19">
        <v>105</v>
      </c>
      <c r="H55" s="12"/>
    </row>
    <row r="56" spans="1:8" ht="27.75" customHeight="1" x14ac:dyDescent="0.25">
      <c r="A56" s="9">
        <v>46304</v>
      </c>
      <c r="B56" s="20" t="s">
        <v>46</v>
      </c>
      <c r="C56" s="10" t="s">
        <v>176</v>
      </c>
      <c r="D56" s="10" t="s">
        <v>177</v>
      </c>
      <c r="E56" s="11">
        <v>60</v>
      </c>
      <c r="F56" s="10" t="s">
        <v>178</v>
      </c>
      <c r="G56" s="19">
        <v>65</v>
      </c>
      <c r="H56" s="12"/>
    </row>
    <row r="57" spans="1:8" ht="27.75" customHeight="1" x14ac:dyDescent="0.25">
      <c r="A57" s="9">
        <v>46304</v>
      </c>
      <c r="B57" s="20" t="s">
        <v>179</v>
      </c>
      <c r="C57" s="10" t="s">
        <v>180</v>
      </c>
      <c r="D57" s="10" t="s">
        <v>181</v>
      </c>
      <c r="E57" s="11">
        <v>120</v>
      </c>
      <c r="F57" s="10" t="s">
        <v>182</v>
      </c>
      <c r="G57" s="19">
        <v>130</v>
      </c>
      <c r="H57" s="12"/>
    </row>
    <row r="58" spans="1:8" ht="27.75" customHeight="1" x14ac:dyDescent="0.25">
      <c r="A58" s="9">
        <v>46304</v>
      </c>
      <c r="B58" s="20" t="s">
        <v>81</v>
      </c>
      <c r="C58" s="10" t="s">
        <v>183</v>
      </c>
      <c r="D58" s="10" t="s">
        <v>184</v>
      </c>
      <c r="E58" s="11">
        <v>60</v>
      </c>
      <c r="F58" s="10" t="s">
        <v>185</v>
      </c>
      <c r="G58" s="19">
        <v>65</v>
      </c>
      <c r="H58" s="12"/>
    </row>
    <row r="59" spans="1:8" ht="27.75" customHeight="1" x14ac:dyDescent="0.25">
      <c r="A59" s="9">
        <v>46304</v>
      </c>
      <c r="B59" s="20" t="s">
        <v>186</v>
      </c>
      <c r="C59" s="10" t="s">
        <v>187</v>
      </c>
      <c r="D59" s="10" t="s">
        <v>188</v>
      </c>
      <c r="E59" s="11">
        <v>90</v>
      </c>
      <c r="F59" s="10" t="s">
        <v>189</v>
      </c>
      <c r="G59" s="19">
        <v>95</v>
      </c>
      <c r="H59" s="12"/>
    </row>
    <row r="60" spans="1:8" ht="27.75" customHeight="1" x14ac:dyDescent="0.25">
      <c r="A60" s="9">
        <v>46304</v>
      </c>
      <c r="B60" s="20" t="s">
        <v>179</v>
      </c>
      <c r="C60" s="10" t="s">
        <v>190</v>
      </c>
      <c r="D60" s="10" t="s">
        <v>191</v>
      </c>
      <c r="E60" s="11">
        <v>60</v>
      </c>
      <c r="F60" s="10" t="s">
        <v>192</v>
      </c>
      <c r="G60" s="19">
        <v>65</v>
      </c>
      <c r="H60" s="12"/>
    </row>
    <row r="61" spans="1:8" ht="27.75" customHeight="1" x14ac:dyDescent="0.25">
      <c r="A61" s="9">
        <v>46304</v>
      </c>
      <c r="B61" s="20" t="s">
        <v>193</v>
      </c>
      <c r="C61" s="10" t="s">
        <v>194</v>
      </c>
      <c r="D61" s="10" t="s">
        <v>195</v>
      </c>
      <c r="E61" s="11">
        <v>180</v>
      </c>
      <c r="F61" s="10" t="s">
        <v>196</v>
      </c>
      <c r="G61" s="19">
        <v>195</v>
      </c>
      <c r="H61" s="12"/>
    </row>
    <row r="62" spans="1:8" ht="27.75" customHeight="1" x14ac:dyDescent="0.25">
      <c r="A62" s="9">
        <v>46305</v>
      </c>
      <c r="B62" s="20" t="s">
        <v>197</v>
      </c>
      <c r="C62" s="10" t="s">
        <v>198</v>
      </c>
      <c r="D62" s="10" t="s">
        <v>199</v>
      </c>
      <c r="E62" s="11">
        <v>150</v>
      </c>
      <c r="F62" s="10" t="s">
        <v>200</v>
      </c>
      <c r="G62" s="19">
        <v>165</v>
      </c>
      <c r="H62" s="12"/>
    </row>
    <row r="63" spans="1:8" ht="27.75" customHeight="1" x14ac:dyDescent="0.25">
      <c r="A63" s="9">
        <v>46306</v>
      </c>
      <c r="B63" s="20" t="s">
        <v>201</v>
      </c>
      <c r="C63" s="10" t="s">
        <v>202</v>
      </c>
      <c r="D63" s="10" t="s">
        <v>203</v>
      </c>
      <c r="E63" s="11">
        <v>180</v>
      </c>
      <c r="F63" s="10" t="s">
        <v>204</v>
      </c>
      <c r="G63" s="19">
        <v>190</v>
      </c>
      <c r="H63" s="12"/>
    </row>
    <row r="64" spans="1:8" ht="27.75" customHeight="1" x14ac:dyDescent="0.25">
      <c r="A64" s="9">
        <v>46307</v>
      </c>
      <c r="B64" s="20" t="s">
        <v>85</v>
      </c>
      <c r="C64" s="10" t="s">
        <v>205</v>
      </c>
      <c r="D64" s="10" t="s">
        <v>206</v>
      </c>
      <c r="E64" s="11">
        <v>120</v>
      </c>
      <c r="F64" s="10" t="s">
        <v>207</v>
      </c>
      <c r="G64" s="19">
        <v>130</v>
      </c>
      <c r="H64" s="12"/>
    </row>
    <row r="65" spans="1:8" ht="27.75" customHeight="1" x14ac:dyDescent="0.25">
      <c r="A65" s="9">
        <v>46308</v>
      </c>
      <c r="B65" s="20" t="s">
        <v>208</v>
      </c>
      <c r="C65" s="10" t="s">
        <v>209</v>
      </c>
      <c r="D65" s="10" t="s">
        <v>210</v>
      </c>
      <c r="E65" s="11">
        <v>120</v>
      </c>
      <c r="F65" s="10" t="s">
        <v>211</v>
      </c>
      <c r="G65" s="19">
        <v>135</v>
      </c>
      <c r="H65" s="12"/>
    </row>
    <row r="66" spans="1:8" ht="27.75" customHeight="1" x14ac:dyDescent="0.25">
      <c r="A66" s="9">
        <v>46309</v>
      </c>
      <c r="B66" s="20" t="s">
        <v>85</v>
      </c>
      <c r="C66" s="10" t="s">
        <v>212</v>
      </c>
      <c r="D66" s="10" t="s">
        <v>213</v>
      </c>
      <c r="E66" s="11">
        <v>240</v>
      </c>
      <c r="F66" s="10" t="s">
        <v>214</v>
      </c>
      <c r="G66" s="19">
        <v>255</v>
      </c>
      <c r="H66" s="12"/>
    </row>
    <row r="67" spans="1:8" ht="27.75" customHeight="1" x14ac:dyDescent="0.25">
      <c r="A67" s="9">
        <v>46309</v>
      </c>
      <c r="B67" s="20" t="s">
        <v>81</v>
      </c>
      <c r="C67" s="10" t="s">
        <v>215</v>
      </c>
      <c r="D67" s="10" t="s">
        <v>216</v>
      </c>
      <c r="E67" s="11">
        <v>60</v>
      </c>
      <c r="F67" s="10" t="s">
        <v>217</v>
      </c>
      <c r="G67" s="19">
        <v>70</v>
      </c>
      <c r="H67" s="12"/>
    </row>
    <row r="68" spans="1:8" ht="27.75" customHeight="1" x14ac:dyDescent="0.25">
      <c r="A68" s="9">
        <v>46310</v>
      </c>
      <c r="B68" s="20" t="s">
        <v>218</v>
      </c>
      <c r="C68" s="10" t="s">
        <v>219</v>
      </c>
      <c r="D68" s="10" t="s">
        <v>220</v>
      </c>
      <c r="E68" s="11">
        <v>240</v>
      </c>
      <c r="F68" s="10" t="s">
        <v>221</v>
      </c>
      <c r="G68" s="19">
        <v>250</v>
      </c>
      <c r="H68" s="12"/>
    </row>
    <row r="69" spans="1:8" ht="27.75" customHeight="1" x14ac:dyDescent="0.25">
      <c r="A69" s="9">
        <v>46311</v>
      </c>
      <c r="B69" s="20" t="s">
        <v>222</v>
      </c>
      <c r="C69" s="10" t="s">
        <v>223</v>
      </c>
      <c r="D69" s="10" t="s">
        <v>224</v>
      </c>
      <c r="E69" s="11">
        <v>300</v>
      </c>
      <c r="F69" s="10" t="s">
        <v>225</v>
      </c>
      <c r="G69" s="19">
        <v>320</v>
      </c>
      <c r="H69" s="12"/>
    </row>
    <row r="70" spans="1:8" ht="27.75" customHeight="1" x14ac:dyDescent="0.25">
      <c r="A70" s="9">
        <v>46312</v>
      </c>
      <c r="B70" s="20" t="s">
        <v>222</v>
      </c>
      <c r="C70" s="10" t="s">
        <v>226</v>
      </c>
      <c r="D70" s="10" t="s">
        <v>227</v>
      </c>
      <c r="E70" s="11">
        <v>210</v>
      </c>
      <c r="F70" s="10" t="s">
        <v>228</v>
      </c>
      <c r="G70" s="19">
        <v>225</v>
      </c>
      <c r="H70" s="12"/>
    </row>
    <row r="71" spans="1:8" ht="27.75" customHeight="1" x14ac:dyDescent="0.25">
      <c r="A71" s="9">
        <v>46313</v>
      </c>
      <c r="B71" s="20" t="s">
        <v>229</v>
      </c>
      <c r="C71" s="10" t="s">
        <v>230</v>
      </c>
      <c r="D71" s="10" t="s">
        <v>231</v>
      </c>
      <c r="E71" s="11">
        <v>150</v>
      </c>
      <c r="F71" s="10" t="s">
        <v>232</v>
      </c>
      <c r="G71" s="19">
        <v>160</v>
      </c>
      <c r="H71" s="12"/>
    </row>
    <row r="72" spans="1:8" ht="27.75" customHeight="1" x14ac:dyDescent="0.25">
      <c r="A72" s="9">
        <v>46314</v>
      </c>
      <c r="B72" s="20" t="s">
        <v>233</v>
      </c>
      <c r="C72" s="10" t="s">
        <v>234</v>
      </c>
      <c r="D72" s="10" t="s">
        <v>235</v>
      </c>
      <c r="E72" s="11">
        <v>240</v>
      </c>
      <c r="F72" s="10" t="s">
        <v>236</v>
      </c>
      <c r="G72" s="19">
        <v>255</v>
      </c>
      <c r="H72" s="12"/>
    </row>
    <row r="73" spans="1:8" ht="27.75" customHeight="1" x14ac:dyDescent="0.25">
      <c r="A73" s="9">
        <v>46315</v>
      </c>
      <c r="B73" s="20" t="s">
        <v>237</v>
      </c>
      <c r="C73" s="10" t="s">
        <v>238</v>
      </c>
      <c r="D73" s="10" t="s">
        <v>239</v>
      </c>
      <c r="E73" s="11">
        <v>300</v>
      </c>
      <c r="F73" s="10" t="s">
        <v>240</v>
      </c>
      <c r="G73" s="19">
        <v>315</v>
      </c>
      <c r="H73" s="12"/>
    </row>
    <row r="74" spans="1:8" ht="27.75" customHeight="1" x14ac:dyDescent="0.25">
      <c r="A74" s="9">
        <v>46316</v>
      </c>
      <c r="B74" s="20" t="s">
        <v>241</v>
      </c>
      <c r="C74" s="10" t="s">
        <v>242</v>
      </c>
      <c r="D74" s="10" t="s">
        <v>243</v>
      </c>
      <c r="E74" s="11">
        <v>360</v>
      </c>
      <c r="F74" s="10" t="s">
        <v>244</v>
      </c>
      <c r="G74" s="19">
        <v>300</v>
      </c>
      <c r="H74" s="12"/>
    </row>
    <row r="75" spans="1:8" ht="27.75" customHeight="1" x14ac:dyDescent="0.25">
      <c r="A75" s="9">
        <v>46317</v>
      </c>
      <c r="B75" s="20" t="s">
        <v>241</v>
      </c>
      <c r="C75" s="10" t="s">
        <v>245</v>
      </c>
      <c r="D75" s="10" t="s">
        <v>246</v>
      </c>
      <c r="E75" s="11">
        <v>240</v>
      </c>
      <c r="F75" s="10" t="s">
        <v>247</v>
      </c>
      <c r="G75" s="19">
        <v>255</v>
      </c>
      <c r="H75" s="12"/>
    </row>
    <row r="76" spans="1:8" ht="27.75" customHeight="1" x14ac:dyDescent="0.25">
      <c r="A76" s="9">
        <v>46318</v>
      </c>
      <c r="B76" s="20" t="s">
        <v>248</v>
      </c>
      <c r="C76" s="10" t="s">
        <v>249</v>
      </c>
      <c r="D76" s="10" t="s">
        <v>250</v>
      </c>
      <c r="E76" s="11">
        <v>180</v>
      </c>
      <c r="F76" s="10" t="s">
        <v>251</v>
      </c>
      <c r="G76" s="19">
        <v>190</v>
      </c>
      <c r="H76" s="12"/>
    </row>
    <row r="77" spans="1:8" ht="27.75" customHeight="1" x14ac:dyDescent="0.25">
      <c r="A77" s="9">
        <v>46318</v>
      </c>
      <c r="B77" s="13" t="s">
        <v>252</v>
      </c>
      <c r="C77" s="10" t="s">
        <v>253</v>
      </c>
      <c r="D77" s="10" t="s">
        <v>254</v>
      </c>
      <c r="E77" s="11">
        <v>180</v>
      </c>
      <c r="F77" s="10" t="s">
        <v>255</v>
      </c>
      <c r="G77" s="19">
        <v>178</v>
      </c>
      <c r="H77" s="12"/>
    </row>
    <row r="78" spans="1:8" ht="27.75" customHeight="1" x14ac:dyDescent="0.25">
      <c r="A78" s="9">
        <v>46319</v>
      </c>
      <c r="B78" s="21" t="s">
        <v>256</v>
      </c>
      <c r="C78" s="10" t="s">
        <v>257</v>
      </c>
      <c r="D78" s="10" t="s">
        <v>258</v>
      </c>
      <c r="E78" s="11">
        <v>180</v>
      </c>
      <c r="F78" s="10" t="s">
        <v>259</v>
      </c>
      <c r="G78" s="14"/>
      <c r="H78" s="12"/>
    </row>
    <row r="79" spans="1:8" ht="27.75" customHeight="1" x14ac:dyDescent="0.25">
      <c r="A79" s="9">
        <v>46321</v>
      </c>
      <c r="B79" s="21" t="s">
        <v>260</v>
      </c>
      <c r="C79" s="10" t="s">
        <v>261</v>
      </c>
      <c r="D79" s="10" t="s">
        <v>262</v>
      </c>
      <c r="E79" s="11">
        <v>180</v>
      </c>
      <c r="F79" s="10" t="s">
        <v>263</v>
      </c>
      <c r="G79" s="14"/>
      <c r="H79" s="12"/>
    </row>
    <row r="80" spans="1:8" ht="27.75" customHeight="1" x14ac:dyDescent="0.25">
      <c r="A80" s="9">
        <v>46322</v>
      </c>
      <c r="B80" s="21" t="s">
        <v>264</v>
      </c>
      <c r="C80" s="10" t="s">
        <v>265</v>
      </c>
      <c r="D80" s="10" t="s">
        <v>266</v>
      </c>
      <c r="E80" s="11">
        <v>180</v>
      </c>
      <c r="F80" s="10" t="s">
        <v>267</v>
      </c>
      <c r="G80" s="14"/>
      <c r="H80" s="15"/>
    </row>
    <row r="81" spans="1:7" ht="27.75" customHeight="1" x14ac:dyDescent="0.25">
      <c r="A81" s="9">
        <v>46323</v>
      </c>
      <c r="B81" s="21" t="s">
        <v>268</v>
      </c>
      <c r="C81" s="10" t="s">
        <v>269</v>
      </c>
      <c r="D81" s="10" t="s">
        <v>270</v>
      </c>
      <c r="E81" s="11">
        <v>210</v>
      </c>
      <c r="F81" s="10" t="s">
        <v>271</v>
      </c>
      <c r="G81" s="14"/>
    </row>
    <row r="82" spans="1:7" ht="27.75" customHeight="1" x14ac:dyDescent="0.25">
      <c r="A82" s="9">
        <v>46324</v>
      </c>
      <c r="B82" s="21" t="s">
        <v>272</v>
      </c>
      <c r="C82" s="10" t="s">
        <v>273</v>
      </c>
      <c r="D82" s="10" t="s">
        <v>274</v>
      </c>
      <c r="E82" s="11">
        <v>180</v>
      </c>
      <c r="F82" s="10" t="s">
        <v>275</v>
      </c>
      <c r="G82" s="14"/>
    </row>
    <row r="83" spans="1:7" ht="27.75" customHeight="1" x14ac:dyDescent="0.25">
      <c r="A83" s="9">
        <v>46325</v>
      </c>
      <c r="B83" s="21" t="s">
        <v>276</v>
      </c>
      <c r="C83" s="10" t="s">
        <v>277</v>
      </c>
      <c r="D83" s="10" t="s">
        <v>278</v>
      </c>
      <c r="E83" s="11">
        <v>240</v>
      </c>
      <c r="F83" s="10" t="s">
        <v>279</v>
      </c>
      <c r="G83" s="14"/>
    </row>
    <row r="84" spans="1:7" ht="27.75" customHeight="1" x14ac:dyDescent="0.25">
      <c r="A84" s="9">
        <v>46326</v>
      </c>
      <c r="B84" s="21" t="s">
        <v>276</v>
      </c>
      <c r="C84" s="10" t="s">
        <v>280</v>
      </c>
      <c r="D84" s="10" t="s">
        <v>281</v>
      </c>
      <c r="E84" s="11">
        <v>240</v>
      </c>
      <c r="F84" s="10" t="s">
        <v>282</v>
      </c>
      <c r="G84" s="14"/>
    </row>
    <row r="85" spans="1:7" ht="27.75" customHeight="1" x14ac:dyDescent="0.25">
      <c r="A85" s="9">
        <v>46328</v>
      </c>
      <c r="B85" s="21" t="s">
        <v>283</v>
      </c>
      <c r="C85" s="10" t="s">
        <v>284</v>
      </c>
      <c r="D85" s="10" t="s">
        <v>285</v>
      </c>
      <c r="E85" s="11">
        <v>180</v>
      </c>
      <c r="F85" s="10" t="s">
        <v>286</v>
      </c>
      <c r="G85" s="14"/>
    </row>
    <row r="86" spans="1:7" ht="21.75" customHeight="1" x14ac:dyDescent="0.25">
      <c r="A86" s="16"/>
      <c r="B86" s="17" t="s">
        <v>287</v>
      </c>
      <c r="C86" s="17"/>
      <c r="D86" s="17"/>
      <c r="E86" s="18">
        <f>SUM(E8:E85)</f>
        <v>11865</v>
      </c>
      <c r="F86" s="17"/>
      <c r="G86" s="18">
        <f>SUM(G8:G85)</f>
        <v>11093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Detail Time Estimate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</dc:creator>
  <cp:lastModifiedBy>RN Nel</cp:lastModifiedBy>
  <dcterms:created xsi:type="dcterms:W3CDTF">2026-10-23T08:42:20Z</dcterms:created>
  <dcterms:modified xsi:type="dcterms:W3CDTF">2026-10-23T08:42:22Z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2026-10-08T09:17:55Z</dcterms:created>
  <dc:creator>openpyxl</dc:creator>
  <dc:description/>
  <dc:language>en-US</dc:language>
  <cp:lastModifiedBy>RN Nel</cp:lastModifiedBy>
  <dcterms:modified xsi:type="dcterms:W3CDTF">2026-10-23T08:38:08Z</dcterms:modified>
  <cp:revision>0</cp:revision>
  <dc:subject/>
  <dc:title/>
</cp:coreProperties>
</file>